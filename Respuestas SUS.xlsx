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rist\Documents\Proyectos\Lab3Tingeso\Lab3Tingeso\"/>
    </mc:Choice>
  </mc:AlternateContent>
  <xr:revisionPtr revIDLastSave="0" documentId="13_ncr:1_{C322E18C-7357-4505-8D1E-D01377E274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I14" i="1"/>
  <c r="J14" i="1"/>
  <c r="K14" i="1"/>
  <c r="L14" i="1"/>
  <c r="C14" i="1"/>
  <c r="M5" i="1"/>
  <c r="M6" i="1"/>
  <c r="M7" i="1"/>
  <c r="M8" i="1"/>
  <c r="M9" i="1"/>
  <c r="M10" i="1"/>
  <c r="M11" i="1"/>
  <c r="M12" i="1"/>
  <c r="M13" i="1"/>
  <c r="M4" i="1"/>
  <c r="M14" i="1" l="1"/>
</calcChain>
</file>

<file path=xl/sharedStrings.xml><?xml version="1.0" encoding="utf-8"?>
<sst xmlns="http://schemas.openxmlformats.org/spreadsheetml/2006/main" count="25" uniqueCount="25">
  <si>
    <t>Preguntas</t>
  </si>
  <si>
    <t>1. Creo que me gustaría utilizar este sistema con frecuencia</t>
  </si>
  <si>
    <t>2. Encontré el sistema innecesariamente complejo</t>
  </si>
  <si>
    <t>3. Pensé que el sistema era fácil de usar</t>
  </si>
  <si>
    <t>4. Creo que necesitaría el apoyo de un técnico para poder utilizar este sistema</t>
  </si>
  <si>
    <t>5. Encontré que las diversas funciones de este sistema estaban bien integradas</t>
  </si>
  <si>
    <t>6. Pensé que había demasiada inconsistencia en este sistema</t>
  </si>
  <si>
    <t>7. Me imagino que la mayoría de la gente aprendería a utilizar este sistema muy rápidamente</t>
  </si>
  <si>
    <t>8. Encontré el sistema muy complicado de usar</t>
  </si>
  <si>
    <t>9. Me sentí muy seguro usando el sistema</t>
  </si>
  <si>
    <t>10. Necesitaba aprender muchas cosas antes de empezar con este sistema</t>
  </si>
  <si>
    <t>Escalabilidad</t>
  </si>
  <si>
    <t>1. Totalmente en desacuerdo</t>
  </si>
  <si>
    <t>2. En desacuerdo</t>
  </si>
  <si>
    <t>3. Neutro</t>
  </si>
  <si>
    <t>4. De acuerdo</t>
  </si>
  <si>
    <t>5. Totalmente de acuerdo</t>
  </si>
  <si>
    <t>Personas</t>
  </si>
  <si>
    <t>Resultado SUS</t>
  </si>
  <si>
    <t>Promedios</t>
  </si>
  <si>
    <t>Lucas</t>
  </si>
  <si>
    <t>Alvaro</t>
  </si>
  <si>
    <t>Rodrigo</t>
  </si>
  <si>
    <t>Cata</t>
  </si>
  <si>
    <t>Maria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</si>
</sst>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3" fillId="0" borderId="1" xfId="0" applyFont="1" applyBorder="1"/>
    <xf numFmtId="0" fontId="2" fillId="2" borderId="1" xfId="0" applyFont="1" applyFill="1" applyBorder="1"/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5" borderId="1" xfId="0" applyFont="1" applyFill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1"/>
  <sheetViews>
    <sheetView tabSelected="1" topLeftCell="E3" workbookViewId="0">
      <selection activeCell="M9" sqref="M9"/>
    </sheetView>
  </sheetViews>
  <sheetFormatPr defaultRowHeight="15" x14ac:dyDescent="0.25"/>
  <cols>
    <col min="2" max="2" width="27.28515625" bestFit="1" customWidth="1"/>
    <col min="3" max="3" width="28.7109375" bestFit="1" customWidth="1"/>
    <col min="4" max="4" width="20.5703125" bestFit="1" customWidth="1"/>
    <col min="5" max="5" width="16.5703125" customWidth="1"/>
    <col min="6" max="6" width="24.85546875" bestFit="1" customWidth="1"/>
    <col min="7" max="7" width="25.85546875" bestFit="1" customWidth="1"/>
    <col min="8" max="8" width="24" bestFit="1" customWidth="1"/>
    <col min="9" max="9" width="29.42578125" bestFit="1" customWidth="1"/>
    <col min="10" max="10" width="18.28515625" bestFit="1" customWidth="1"/>
    <col min="11" max="11" width="15" bestFit="1" customWidth="1"/>
    <col min="12" max="12" width="24.28515625" bestFit="1" customWidth="1"/>
    <col min="13" max="13" width="14.42578125" customWidth="1"/>
  </cols>
  <sheetData>
    <row r="2" spans="2:13" ht="23.25" x14ac:dyDescent="0.35">
      <c r="B2" s="1"/>
      <c r="C2" s="11" t="s">
        <v>0</v>
      </c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2:13" ht="45" x14ac:dyDescent="0.35">
      <c r="B3" s="7" t="s">
        <v>17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9" t="s">
        <v>18</v>
      </c>
    </row>
    <row r="4" spans="2:13" x14ac:dyDescent="0.25">
      <c r="B4" s="1"/>
      <c r="C4" s="1">
        <v>5</v>
      </c>
      <c r="D4" s="1">
        <v>1</v>
      </c>
      <c r="E4" s="1">
        <v>5</v>
      </c>
      <c r="F4" s="1">
        <v>1</v>
      </c>
      <c r="G4" s="1">
        <v>5</v>
      </c>
      <c r="H4" s="1">
        <v>1</v>
      </c>
      <c r="I4" s="1">
        <v>5</v>
      </c>
      <c r="J4" s="1">
        <v>1</v>
      </c>
      <c r="K4" s="1">
        <v>5</v>
      </c>
      <c r="L4" s="1">
        <v>1</v>
      </c>
      <c r="M4" s="2">
        <f t="shared" ref="M4:M13" si="0">((C4-1) + (5-D4) + (E4-1) + (5-F4) + (G4-1) + (5-H4) + (I4-1) + (5-J4) + (K4-1) + (5-L4)) * 2.5</f>
        <v>100</v>
      </c>
    </row>
    <row r="5" spans="2:13" x14ac:dyDescent="0.25">
      <c r="B5" s="1" t="s">
        <v>20</v>
      </c>
      <c r="C5" s="1">
        <v>5</v>
      </c>
      <c r="D5" s="1">
        <v>1</v>
      </c>
      <c r="E5" s="1">
        <v>4</v>
      </c>
      <c r="F5" s="1">
        <v>1</v>
      </c>
      <c r="G5" s="1">
        <v>5</v>
      </c>
      <c r="H5" s="1">
        <v>1</v>
      </c>
      <c r="I5" s="1">
        <v>3</v>
      </c>
      <c r="J5" s="1">
        <v>1</v>
      </c>
      <c r="K5" s="1">
        <v>5</v>
      </c>
      <c r="L5" s="1">
        <v>1</v>
      </c>
      <c r="M5" s="2">
        <f t="shared" si="0"/>
        <v>92.5</v>
      </c>
    </row>
    <row r="6" spans="2:13" x14ac:dyDescent="0.25">
      <c r="B6" s="1" t="s">
        <v>21</v>
      </c>
      <c r="C6" s="1">
        <v>5</v>
      </c>
      <c r="D6" s="1">
        <v>1</v>
      </c>
      <c r="E6" s="1">
        <v>5</v>
      </c>
      <c r="F6" s="1">
        <v>1</v>
      </c>
      <c r="G6" s="1">
        <v>5</v>
      </c>
      <c r="H6" s="1">
        <v>1</v>
      </c>
      <c r="I6" s="1">
        <v>4</v>
      </c>
      <c r="J6" s="1">
        <v>1</v>
      </c>
      <c r="K6" s="1">
        <v>5</v>
      </c>
      <c r="L6" s="1">
        <v>1</v>
      </c>
      <c r="M6" s="2">
        <f t="shared" si="0"/>
        <v>97.5</v>
      </c>
    </row>
    <row r="7" spans="2:13" x14ac:dyDescent="0.25">
      <c r="B7" s="1" t="s">
        <v>22</v>
      </c>
      <c r="C7" s="1">
        <v>4</v>
      </c>
      <c r="D7" s="1">
        <v>1</v>
      </c>
      <c r="E7" s="1">
        <v>3</v>
      </c>
      <c r="F7" s="1">
        <v>1</v>
      </c>
      <c r="G7" s="1">
        <v>4</v>
      </c>
      <c r="H7" s="1">
        <v>1</v>
      </c>
      <c r="I7" s="1">
        <v>4</v>
      </c>
      <c r="J7" s="1">
        <v>1</v>
      </c>
      <c r="K7" s="1">
        <v>4</v>
      </c>
      <c r="L7" s="1">
        <v>1</v>
      </c>
      <c r="M7" s="2">
        <f t="shared" si="0"/>
        <v>85</v>
      </c>
    </row>
    <row r="8" spans="2:13" x14ac:dyDescent="0.25">
      <c r="B8" s="1" t="s">
        <v>23</v>
      </c>
      <c r="C8" s="1">
        <v>5</v>
      </c>
      <c r="D8" s="1">
        <v>1</v>
      </c>
      <c r="E8" s="1">
        <v>5</v>
      </c>
      <c r="F8" s="1">
        <v>1</v>
      </c>
      <c r="G8" s="1">
        <v>5</v>
      </c>
      <c r="H8" s="1">
        <v>1</v>
      </c>
      <c r="I8" s="1">
        <v>4</v>
      </c>
      <c r="J8" s="1">
        <v>1</v>
      </c>
      <c r="K8" s="1">
        <v>5</v>
      </c>
      <c r="L8" s="1">
        <v>3</v>
      </c>
      <c r="M8" s="2">
        <f t="shared" si="0"/>
        <v>92.5</v>
      </c>
    </row>
    <row r="9" spans="2:13" x14ac:dyDescent="0.25">
      <c r="B9" s="1" t="s">
        <v>24</v>
      </c>
      <c r="C9" s="1">
        <v>2</v>
      </c>
      <c r="D9" s="1">
        <v>3</v>
      </c>
      <c r="E9" s="1">
        <v>5</v>
      </c>
      <c r="F9" s="1">
        <v>1</v>
      </c>
      <c r="G9" s="1">
        <v>5</v>
      </c>
      <c r="H9" s="1">
        <v>3</v>
      </c>
      <c r="I9" s="1">
        <v>5</v>
      </c>
      <c r="J9" s="1">
        <v>1</v>
      </c>
      <c r="K9" s="1">
        <v>5</v>
      </c>
      <c r="L9" s="1">
        <v>1</v>
      </c>
      <c r="M9" s="2">
        <f t="shared" si="0"/>
        <v>82.5</v>
      </c>
    </row>
    <row r="10" spans="2:13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2">
        <f t="shared" si="0"/>
        <v>50</v>
      </c>
    </row>
    <row r="11" spans="2:13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2">
        <f t="shared" si="0"/>
        <v>50</v>
      </c>
    </row>
    <row r="12" spans="2:13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">
        <f t="shared" si="0"/>
        <v>50</v>
      </c>
    </row>
    <row r="13" spans="2:13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">
        <f t="shared" si="0"/>
        <v>50</v>
      </c>
    </row>
    <row r="14" spans="2:13" ht="26.25" x14ac:dyDescent="0.4">
      <c r="B14" s="10" t="s">
        <v>19</v>
      </c>
      <c r="C14" s="1">
        <f>AVERAGE(C4:C13)</f>
        <v>4.333333333333333</v>
      </c>
      <c r="D14" s="1">
        <f t="shared" ref="D14:M14" si="1">AVERAGE(D4:D13)</f>
        <v>1.3333333333333333</v>
      </c>
      <c r="E14" s="1">
        <f t="shared" si="1"/>
        <v>4.5</v>
      </c>
      <c r="F14" s="1">
        <f t="shared" si="1"/>
        <v>1</v>
      </c>
      <c r="G14" s="1">
        <f t="shared" si="1"/>
        <v>4.833333333333333</v>
      </c>
      <c r="H14" s="1">
        <f t="shared" si="1"/>
        <v>1.3333333333333333</v>
      </c>
      <c r="I14" s="1">
        <f t="shared" si="1"/>
        <v>4.166666666666667</v>
      </c>
      <c r="J14" s="1">
        <f t="shared" si="1"/>
        <v>1</v>
      </c>
      <c r="K14" s="1">
        <f t="shared" si="1"/>
        <v>4.833333333333333</v>
      </c>
      <c r="L14" s="1">
        <f t="shared" si="1"/>
        <v>1.3333333333333333</v>
      </c>
      <c r="M14" s="6">
        <f t="shared" si="1"/>
        <v>75</v>
      </c>
    </row>
    <row r="16" spans="2:13" ht="23.25" x14ac:dyDescent="0.35">
      <c r="B16" s="3" t="s">
        <v>11</v>
      </c>
    </row>
    <row r="17" spans="2:2" x14ac:dyDescent="0.25">
      <c r="B17" s="4" t="s">
        <v>12</v>
      </c>
    </row>
    <row r="18" spans="2:2" x14ac:dyDescent="0.25">
      <c r="B18" s="4" t="s">
        <v>13</v>
      </c>
    </row>
    <row r="19" spans="2:2" x14ac:dyDescent="0.25">
      <c r="B19" s="4" t="s">
        <v>14</v>
      </c>
    </row>
    <row r="20" spans="2:2" x14ac:dyDescent="0.25">
      <c r="B20" s="4" t="s">
        <v>15</v>
      </c>
    </row>
    <row r="21" spans="2:2" x14ac:dyDescent="0.25">
      <c r="B21" s="5" t="s">
        <v>16</v>
      </c>
    </row>
  </sheetData>
  <mergeCells count="1">
    <mergeCell ref="C2:M2"/>
  </mergeCells>
  <conditionalFormatting sqref="B3:L13 B2:C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M13 B2:C2">
    <cfRule type="colorScale" priority="6">
      <colorScale>
        <cfvo type="min"/>
        <cfvo type="max"/>
        <color rgb="FFFF7128"/>
        <color rgb="FF92D050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L13">
    <cfRule type="colorScale" priority="2">
      <colorScale>
        <cfvo type="num" val="1"/>
        <cfvo type="num" val="5"/>
        <color theme="5" tint="0.59999389629810485"/>
        <color theme="9" tint="0.59999389629810485"/>
      </colorScale>
    </cfRule>
  </conditionalFormatting>
  <conditionalFormatting sqref="C14:L14">
    <cfRule type="colorScale" priority="1">
      <colorScale>
        <cfvo type="num" val="1"/>
        <cfvo type="num" val="5"/>
        <color theme="5" tint="0.59999389629810485"/>
        <color theme="9" tint="0.59999389629810485"/>
      </colorScale>
    </cfRule>
  </conditionalFormatting>
  <conditionalFormatting sqref="M4:M13">
    <cfRule type="colorScale" priority="3">
      <colorScale>
        <cfvo type="num" val="0"/>
        <cfvo type="num" val="100"/>
        <color theme="5" tint="0.59999389629810485"/>
        <color theme="9" tint="0.59999389629810485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Milla</dc:creator>
  <cp:lastModifiedBy>Cristobal Milla Cabello</cp:lastModifiedBy>
  <dcterms:created xsi:type="dcterms:W3CDTF">2015-06-05T18:17:20Z</dcterms:created>
  <dcterms:modified xsi:type="dcterms:W3CDTF">2025-07-06T22:45:18Z</dcterms:modified>
</cp:coreProperties>
</file>