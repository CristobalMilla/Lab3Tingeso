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rist\Documents\Proyectos\Lab3Tingeso\Lab3Tingeso\"/>
    </mc:Choice>
  </mc:AlternateContent>
  <xr:revisionPtr revIDLastSave="0" documentId="13_ncr:1_{22AF7927-B456-46D1-B1AF-69E0D0DA90C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F26" i="1"/>
</calcChain>
</file>

<file path=xl/sharedStrings.xml><?xml version="1.0" encoding="utf-8"?>
<sst xmlns="http://schemas.openxmlformats.org/spreadsheetml/2006/main" count="188" uniqueCount="89">
  <si>
    <t>Funcionalidad</t>
  </si>
  <si>
    <t>Nombre de metodo en controllador</t>
  </si>
  <si>
    <t>Direccion http</t>
  </si>
  <si>
    <t>Tipo de request</t>
  </si>
  <si>
    <t>Parametro</t>
  </si>
  <si>
    <t>Load Testing</t>
  </si>
  <si>
    <t>Bajo</t>
  </si>
  <si>
    <t>Medio</t>
  </si>
  <si>
    <t>Alto</t>
  </si>
  <si>
    <t>Stress</t>
  </si>
  <si>
    <t>Volume</t>
  </si>
  <si>
    <t>RF5</t>
  </si>
  <si>
    <t>RF7</t>
  </si>
  <si>
    <t>RF8</t>
  </si>
  <si>
    <t>getCalendarEventsForWeeks</t>
  </si>
  <si>
    <t>generateFeeTypeReport</t>
  </si>
  <si>
    <t>http://localhost:/api/calendar/getEventsFromWeek</t>
  </si>
  <si>
    <t>Post</t>
  </si>
  <si>
    <t>Get</t>
  </si>
  <si>
    <t>http://localhost:/api/report/fee-type</t>
  </si>
  <si>
    <t>10 por segundo</t>
  </si>
  <si>
    <t>500 por segundo</t>
  </si>
  <si>
    <t>Resultado Throughput</t>
  </si>
  <si>
    <t>Resultado Error %</t>
  </si>
  <si>
    <t>Resultado Average Latency</t>
  </si>
  <si>
    <t>64,4/sec</t>
  </si>
  <si>
    <t>1000 por segundo</t>
  </si>
  <si>
    <t>199,5/sec</t>
  </si>
  <si>
    <t>4,5/sec</t>
  </si>
  <si>
    <t>10 por segundo por 1 minuto</t>
  </si>
  <si>
    <t>10,2/sec</t>
  </si>
  <si>
    <t>250 por segundo por 1 minuto</t>
  </si>
  <si>
    <t>266,4/sec</t>
  </si>
  <si>
    <t>1000 por segundo por 1 minuto</t>
  </si>
  <si>
    <t>646,7/sec</t>
  </si>
  <si>
    <t>1,9/sec</t>
  </si>
  <si>
    <t>120,8/sec</t>
  </si>
  <si>
    <t>191,1/sec</t>
  </si>
  <si>
    <t>Detalle</t>
  </si>
  <si>
    <t>10 rentas en BD</t>
  </si>
  <si>
    <t>10,0/sec</t>
  </si>
  <si>
    <t>247,6/sec</t>
  </si>
  <si>
    <t>10 rentas en BD. En alto, 1:55 minutos en terminar, Maximo de latencia = 92678</t>
  </si>
  <si>
    <t>515,5/5</t>
  </si>
  <si>
    <t>http://localhost:/api/receipt/saveFromPreview</t>
  </si>
  <si>
    <t>http://localhost:/api/receipt/calculatePreview</t>
  </si>
  <si>
    <t>calculatePreview (A)</t>
  </si>
  <si>
    <t>saveFromPreview (B)</t>
  </si>
  <si>
    <t>250 por segundo</t>
  </si>
  <si>
    <t>77,6/sec</t>
  </si>
  <si>
    <t>129,1/sec</t>
  </si>
  <si>
    <t>10,1/sec</t>
  </si>
  <si>
    <t>200 por segundo por 1 minuto</t>
  </si>
  <si>
    <t>195,4/sec</t>
  </si>
  <si>
    <t>500  por segundo por 5 minutos</t>
  </si>
  <si>
    <t>391,1/sec</t>
  </si>
  <si>
    <t>1:16 minutos en terminar</t>
  </si>
  <si>
    <t xml:space="preserve">400 por segundo </t>
  </si>
  <si>
    <t>189,0/sec</t>
  </si>
  <si>
    <t>800 por segundo</t>
  </si>
  <si>
    <t>269,2/sec</t>
  </si>
  <si>
    <t>11,0/sec</t>
  </si>
  <si>
    <t>500 por segundo por 1 minuto</t>
  </si>
  <si>
    <t>499,8/sec</t>
  </si>
  <si>
    <t>886,2/sec</t>
  </si>
  <si>
    <t>24,2/sec</t>
  </si>
  <si>
    <t>50 por segundo, 200 Rentas</t>
  </si>
  <si>
    <t>50 por segundo, 1000 rentas</t>
  </si>
  <si>
    <t>50 por segundo, 10000 rentas</t>
  </si>
  <si>
    <t>Maximo de rentas por semana=</t>
  </si>
  <si>
    <t>39,5/min</t>
  </si>
  <si>
    <t>Maximo de rentas por mes=</t>
  </si>
  <si>
    <t>39,3/sec</t>
  </si>
  <si>
    <t>24,7/sec</t>
  </si>
  <si>
    <t>5,8/sec</t>
  </si>
  <si>
    <t>8 segundos en terminar, Maximo de latencia = 8200</t>
  </si>
  <si>
    <t>50 threads, 20 sec ramp up, 5 count</t>
  </si>
  <si>
    <t>12,7/sec</t>
  </si>
  <si>
    <t>200 threads, 10 sec ramp up, 20 count</t>
  </si>
  <si>
    <t>372,6/sec</t>
  </si>
  <si>
    <t>500 threads, 10 sec ramp up, 30 count</t>
  </si>
  <si>
    <t>755,3/sec</t>
  </si>
  <si>
    <t>Maximo de latencia = 15440</t>
  </si>
  <si>
    <t>100 threads, 30 sec ramp up, 10 count</t>
  </si>
  <si>
    <t>33,6/sec</t>
  </si>
  <si>
    <t>300 threads, 15 sec ramp up, 20 count</t>
  </si>
  <si>
    <t>331,8/sec</t>
  </si>
  <si>
    <t>328,5/sec</t>
  </si>
  <si>
    <t>Maximo de latencia = 39689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</si>
</sst>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JetBrains Mono"/>
      <family val="3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1" xfId="0" applyBorder="1"/>
    <xf numFmtId="0" fontId="1" fillId="0" borderId="1" xfId="1" applyBorder="1"/>
    <xf numFmtId="0" fontId="0" fillId="2" borderId="1" xfId="0" applyFill="1" applyBorder="1"/>
    <xf numFmtId="0" fontId="1" fillId="0" borderId="0" xfId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/>
    <xf numFmtId="0" fontId="0" fillId="8" borderId="1" xfId="0" applyFill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0" borderId="1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1" xfId="0" applyFont="1" applyBorder="1"/>
    <xf numFmtId="0" fontId="3" fillId="0" borderId="0" xfId="0" applyFont="1"/>
    <xf numFmtId="0" fontId="4" fillId="0" borderId="0" xfId="0" applyFont="1"/>
    <xf numFmtId="0" fontId="4" fillId="2" borderId="1" xfId="0" applyFont="1" applyFill="1" applyBorder="1"/>
    <xf numFmtId="10" fontId="0" fillId="0" borderId="1" xfId="0" applyNumberFormat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localhost/api/receipt/saveFromPreview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localhost/api/report/fee-type" TargetMode="External"/><Relationship Id="rId7" Type="http://schemas.openxmlformats.org/officeDocument/2006/relationships/hyperlink" Target="http://localhost/api/report/fee-type" TargetMode="External"/><Relationship Id="rId12" Type="http://schemas.openxmlformats.org/officeDocument/2006/relationships/hyperlink" Target="http://localhost/api/receipt/saveFromPreview" TargetMode="External"/><Relationship Id="rId2" Type="http://schemas.openxmlformats.org/officeDocument/2006/relationships/hyperlink" Target="http://localhost/api/calendar/getEventsFromWeek" TargetMode="External"/><Relationship Id="rId1" Type="http://schemas.openxmlformats.org/officeDocument/2006/relationships/hyperlink" Target="http://localhost/api/receipt/calculatePreview" TargetMode="External"/><Relationship Id="rId6" Type="http://schemas.openxmlformats.org/officeDocument/2006/relationships/hyperlink" Target="http://localhost/api/calendar/getEventsFromWeek" TargetMode="External"/><Relationship Id="rId11" Type="http://schemas.openxmlformats.org/officeDocument/2006/relationships/hyperlink" Target="http://localhost/api/receipt/calculatePreview" TargetMode="External"/><Relationship Id="rId5" Type="http://schemas.openxmlformats.org/officeDocument/2006/relationships/hyperlink" Target="http://localhost/api/report/fee-type" TargetMode="External"/><Relationship Id="rId10" Type="http://schemas.openxmlformats.org/officeDocument/2006/relationships/hyperlink" Target="http://localhost/api/receipt/saveFromPreview" TargetMode="External"/><Relationship Id="rId4" Type="http://schemas.openxmlformats.org/officeDocument/2006/relationships/hyperlink" Target="http://localhost/api/calendar/getEventsFromWeek" TargetMode="External"/><Relationship Id="rId9" Type="http://schemas.openxmlformats.org/officeDocument/2006/relationships/hyperlink" Target="http://localhost/api/receipt/calculatePre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"/>
  <sheetViews>
    <sheetView tabSelected="1" workbookViewId="0">
      <pane xSplit="1" topLeftCell="E1" activePane="topRight" state="frozen"/>
      <selection pane="topRight" activeCell="S20" sqref="S20"/>
    </sheetView>
  </sheetViews>
  <sheetFormatPr defaultRowHeight="15"/>
  <cols>
    <col min="1" max="1" width="13.5703125" bestFit="1" customWidth="1"/>
    <col min="2" max="2" width="33.140625" bestFit="1" customWidth="1"/>
    <col min="3" max="3" width="48.140625" bestFit="1" customWidth="1"/>
    <col min="4" max="4" width="15" bestFit="1" customWidth="1"/>
    <col min="5" max="5" width="27.5703125" bestFit="1" customWidth="1"/>
    <col min="6" max="6" width="25.140625" bestFit="1" customWidth="1"/>
    <col min="7" max="8" width="25.140625" customWidth="1"/>
    <col min="9" max="9" width="28.5703125" bestFit="1" customWidth="1"/>
    <col min="10" max="10" width="25.140625" bestFit="1" customWidth="1"/>
    <col min="11" max="11" width="20.85546875" bestFit="1" customWidth="1"/>
    <col min="12" max="12" width="16.7109375" customWidth="1"/>
    <col min="13" max="13" width="28.5703125" bestFit="1" customWidth="1"/>
    <col min="14" max="15" width="28.5703125" customWidth="1"/>
    <col min="16" max="16" width="25.140625" bestFit="1" customWidth="1"/>
    <col min="17" max="17" width="20.85546875" bestFit="1" customWidth="1"/>
    <col min="18" max="18" width="72" bestFit="1" customWidth="1"/>
    <col min="19" max="19" width="16.5703125" bestFit="1" customWidth="1"/>
    <col min="20" max="20" width="25.140625" bestFit="1" customWidth="1"/>
    <col min="21" max="21" width="20.85546875" bestFit="1" customWidth="1"/>
    <col min="22" max="22" width="16.7109375" bestFit="1" customWidth="1"/>
    <col min="23" max="23" width="27.5703125" bestFit="1" customWidth="1"/>
    <col min="24" max="24" width="9.85546875" bestFit="1" customWidth="1"/>
    <col min="25" max="25" width="28.5703125" bestFit="1" customWidth="1"/>
    <col min="26" max="26" width="9.85546875" bestFit="1" customWidth="1"/>
    <col min="27" max="27" width="28.5703125" bestFit="1" customWidth="1"/>
    <col min="28" max="28" width="9.85546875" bestFit="1" customWidth="1"/>
    <col min="29" max="29" width="17.5703125" bestFit="1" customWidth="1"/>
    <col min="30" max="30" width="9.85546875" bestFit="1" customWidth="1"/>
    <col min="31" max="31" width="18.42578125" bestFit="1" customWidth="1"/>
    <col min="32" max="32" width="9.42578125" customWidth="1"/>
    <col min="33" max="33" width="19.42578125" bestFit="1" customWidth="1"/>
    <col min="34" max="34" width="9.85546875" bestFit="1" customWidth="1"/>
  </cols>
  <sheetData>
    <row r="1" spans="1:18">
      <c r="E1" s="13" t="s">
        <v>5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</row>
    <row r="2" spans="1:18">
      <c r="E2" s="18" t="s">
        <v>6</v>
      </c>
      <c r="F2" s="19"/>
      <c r="G2" s="19"/>
      <c r="H2" s="20"/>
      <c r="I2" s="21" t="s">
        <v>7</v>
      </c>
      <c r="J2" s="22"/>
      <c r="K2" s="22"/>
      <c r="L2" s="23"/>
      <c r="M2" s="15" t="s">
        <v>8</v>
      </c>
      <c r="N2" s="15"/>
      <c r="O2" s="15"/>
      <c r="P2" s="15"/>
      <c r="R2" s="1" t="s">
        <v>38</v>
      </c>
    </row>
    <row r="3" spans="1:18">
      <c r="A3" s="8" t="s">
        <v>0</v>
      </c>
      <c r="B3" s="3" t="s">
        <v>1</v>
      </c>
      <c r="C3" s="3" t="s">
        <v>2</v>
      </c>
      <c r="D3" s="3" t="s">
        <v>3</v>
      </c>
      <c r="E3" s="7" t="s">
        <v>4</v>
      </c>
      <c r="F3" s="1" t="s">
        <v>24</v>
      </c>
      <c r="G3" s="1" t="s">
        <v>22</v>
      </c>
      <c r="H3" s="1" t="s">
        <v>23</v>
      </c>
      <c r="I3" s="7" t="s">
        <v>4</v>
      </c>
      <c r="J3" s="1" t="s">
        <v>24</v>
      </c>
      <c r="K3" s="1" t="s">
        <v>22</v>
      </c>
      <c r="L3" s="1" t="s">
        <v>23</v>
      </c>
      <c r="M3" s="7" t="s">
        <v>4</v>
      </c>
      <c r="N3" s="1" t="s">
        <v>24</v>
      </c>
      <c r="O3" s="1" t="s">
        <v>22</v>
      </c>
      <c r="P3" s="1" t="s">
        <v>23</v>
      </c>
      <c r="R3" s="11"/>
    </row>
    <row r="4" spans="1:18">
      <c r="A4" s="1" t="s">
        <v>11</v>
      </c>
      <c r="B4" s="26" t="s">
        <v>46</v>
      </c>
      <c r="C4" s="2" t="s">
        <v>45</v>
      </c>
      <c r="D4" s="1" t="s">
        <v>17</v>
      </c>
      <c r="E4" s="1" t="s">
        <v>20</v>
      </c>
      <c r="F4" s="1">
        <v>53</v>
      </c>
      <c r="G4" s="10" t="s">
        <v>40</v>
      </c>
      <c r="H4" s="9">
        <v>0</v>
      </c>
      <c r="I4" s="1" t="s">
        <v>48</v>
      </c>
      <c r="J4" s="1">
        <v>1286</v>
      </c>
      <c r="K4" s="10" t="s">
        <v>49</v>
      </c>
      <c r="L4" s="9">
        <v>3.2000000000000001E-2</v>
      </c>
      <c r="M4" s="1" t="s">
        <v>21</v>
      </c>
      <c r="N4" s="1">
        <v>1148</v>
      </c>
      <c r="O4" s="31" t="s">
        <v>50</v>
      </c>
      <c r="P4" s="9">
        <v>0.192</v>
      </c>
      <c r="R4" s="11"/>
    </row>
    <row r="5" spans="1:18">
      <c r="A5" s="1"/>
      <c r="B5" s="25" t="s">
        <v>47</v>
      </c>
      <c r="C5" s="2" t="s">
        <v>44</v>
      </c>
      <c r="D5" s="1" t="s">
        <v>17</v>
      </c>
      <c r="E5" s="1" t="s">
        <v>20</v>
      </c>
      <c r="F5" s="1">
        <v>11</v>
      </c>
      <c r="G5" s="10" t="s">
        <v>61</v>
      </c>
      <c r="H5" s="9">
        <v>0</v>
      </c>
      <c r="I5" s="1" t="s">
        <v>57</v>
      </c>
      <c r="J5" s="1">
        <v>288</v>
      </c>
      <c r="K5" s="10" t="s">
        <v>58</v>
      </c>
      <c r="L5" s="9">
        <v>0.13750000000000001</v>
      </c>
      <c r="M5" s="1" t="s">
        <v>59</v>
      </c>
      <c r="N5" s="1">
        <v>721</v>
      </c>
      <c r="O5" s="10" t="s">
        <v>60</v>
      </c>
      <c r="P5" s="9">
        <v>0.18</v>
      </c>
      <c r="R5" s="11"/>
    </row>
    <row r="6" spans="1:18">
      <c r="A6" s="1" t="s">
        <v>12</v>
      </c>
      <c r="B6" s="27" t="s">
        <v>14</v>
      </c>
      <c r="C6" s="2" t="s">
        <v>16</v>
      </c>
      <c r="D6" s="1" t="s">
        <v>18</v>
      </c>
      <c r="E6" s="1" t="s">
        <v>20</v>
      </c>
      <c r="F6" s="1">
        <v>10</v>
      </c>
      <c r="G6" s="10" t="s">
        <v>28</v>
      </c>
      <c r="H6" s="9">
        <v>0</v>
      </c>
      <c r="I6" s="1" t="s">
        <v>21</v>
      </c>
      <c r="J6" s="1">
        <v>472</v>
      </c>
      <c r="K6" s="10" t="s">
        <v>25</v>
      </c>
      <c r="L6" s="9">
        <v>0.10199999999999999</v>
      </c>
      <c r="M6" s="1" t="s">
        <v>26</v>
      </c>
      <c r="N6" s="1">
        <v>566</v>
      </c>
      <c r="O6" s="10" t="s">
        <v>27</v>
      </c>
      <c r="P6" s="9">
        <v>0.39800000000000002</v>
      </c>
      <c r="R6" s="11" t="s">
        <v>39</v>
      </c>
    </row>
    <row r="7" spans="1:18">
      <c r="A7" s="1" t="s">
        <v>13</v>
      </c>
      <c r="B7" s="27" t="s">
        <v>15</v>
      </c>
      <c r="C7" s="2" t="s">
        <v>19</v>
      </c>
      <c r="D7" s="1" t="s">
        <v>18</v>
      </c>
      <c r="E7" s="1" t="s">
        <v>20</v>
      </c>
      <c r="F7" s="1">
        <v>25</v>
      </c>
      <c r="G7" s="10" t="s">
        <v>35</v>
      </c>
      <c r="H7" s="9">
        <v>0</v>
      </c>
      <c r="I7" s="1" t="s">
        <v>21</v>
      </c>
      <c r="J7" s="1">
        <v>717</v>
      </c>
      <c r="K7" s="10" t="s">
        <v>36</v>
      </c>
      <c r="L7" s="9">
        <v>1.34E-2</v>
      </c>
      <c r="M7" s="1" t="s">
        <v>26</v>
      </c>
      <c r="N7" s="1">
        <v>565</v>
      </c>
      <c r="O7" s="10" t="s">
        <v>37</v>
      </c>
      <c r="P7" s="9">
        <v>0.32740000000000002</v>
      </c>
      <c r="R7" s="11" t="s">
        <v>39</v>
      </c>
    </row>
    <row r="8" spans="1:18">
      <c r="B8" s="28"/>
      <c r="C8" s="4"/>
      <c r="R8" s="11"/>
    </row>
    <row r="9" spans="1:18">
      <c r="B9" s="29"/>
      <c r="E9" s="24" t="s">
        <v>9</v>
      </c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R9" s="11"/>
    </row>
    <row r="10" spans="1:18">
      <c r="B10" s="29"/>
      <c r="E10" s="16" t="s">
        <v>6</v>
      </c>
      <c r="F10" s="16"/>
      <c r="G10" s="5"/>
      <c r="H10" s="5"/>
      <c r="I10" s="17" t="s">
        <v>7</v>
      </c>
      <c r="J10" s="17"/>
      <c r="K10" s="6"/>
      <c r="L10" s="6"/>
      <c r="M10" s="15" t="s">
        <v>8</v>
      </c>
      <c r="N10" s="15"/>
      <c r="O10" s="15"/>
      <c r="P10" s="15"/>
      <c r="R10" s="11"/>
    </row>
    <row r="11" spans="1:18">
      <c r="A11" s="8" t="s">
        <v>0</v>
      </c>
      <c r="B11" s="30" t="s">
        <v>1</v>
      </c>
      <c r="C11" s="3" t="s">
        <v>2</v>
      </c>
      <c r="D11" s="3" t="s">
        <v>3</v>
      </c>
      <c r="E11" s="7" t="s">
        <v>4</v>
      </c>
      <c r="F11" s="1" t="s">
        <v>24</v>
      </c>
      <c r="G11" s="1" t="s">
        <v>22</v>
      </c>
      <c r="H11" s="1" t="s">
        <v>23</v>
      </c>
      <c r="I11" s="7" t="s">
        <v>4</v>
      </c>
      <c r="J11" s="1" t="s">
        <v>24</v>
      </c>
      <c r="K11" s="1" t="s">
        <v>22</v>
      </c>
      <c r="L11" s="1" t="s">
        <v>23</v>
      </c>
      <c r="M11" s="7" t="s">
        <v>4</v>
      </c>
      <c r="N11" s="1" t="s">
        <v>24</v>
      </c>
      <c r="O11" s="1" t="s">
        <v>22</v>
      </c>
      <c r="P11" s="1" t="s">
        <v>23</v>
      </c>
      <c r="R11" s="11"/>
    </row>
    <row r="12" spans="1:18">
      <c r="A12" s="1" t="s">
        <v>11</v>
      </c>
      <c r="B12" s="26" t="s">
        <v>46</v>
      </c>
      <c r="C12" s="2" t="s">
        <v>45</v>
      </c>
      <c r="D12" s="1" t="s">
        <v>17</v>
      </c>
      <c r="E12" s="1" t="s">
        <v>29</v>
      </c>
      <c r="F12" s="1">
        <v>10</v>
      </c>
      <c r="G12" s="10" t="s">
        <v>51</v>
      </c>
      <c r="H12" s="9">
        <v>0</v>
      </c>
      <c r="I12" s="1" t="s">
        <v>52</v>
      </c>
      <c r="J12" s="1">
        <v>78</v>
      </c>
      <c r="K12" s="10" t="s">
        <v>53</v>
      </c>
      <c r="L12" s="9">
        <v>0</v>
      </c>
      <c r="M12" s="1" t="s">
        <v>54</v>
      </c>
      <c r="N12" s="1">
        <v>480</v>
      </c>
      <c r="O12" s="10" t="s">
        <v>55</v>
      </c>
      <c r="P12" s="9">
        <v>1.4800000000000001E-2</v>
      </c>
      <c r="R12" s="11" t="s">
        <v>56</v>
      </c>
    </row>
    <row r="13" spans="1:18">
      <c r="A13" s="1"/>
      <c r="B13" s="25" t="s">
        <v>47</v>
      </c>
      <c r="C13" s="2" t="s">
        <v>44</v>
      </c>
      <c r="D13" s="1" t="s">
        <v>17</v>
      </c>
      <c r="E13" s="1" t="s">
        <v>29</v>
      </c>
      <c r="F13" s="1">
        <v>4</v>
      </c>
      <c r="G13" s="10" t="s">
        <v>51</v>
      </c>
      <c r="H13" s="9">
        <v>0</v>
      </c>
      <c r="I13" s="1" t="s">
        <v>62</v>
      </c>
      <c r="J13" s="1">
        <v>26</v>
      </c>
      <c r="K13" s="10" t="s">
        <v>63</v>
      </c>
      <c r="L13" s="9">
        <v>0</v>
      </c>
      <c r="M13" s="1" t="s">
        <v>33</v>
      </c>
      <c r="N13" s="1">
        <v>334</v>
      </c>
      <c r="O13" s="10" t="s">
        <v>64</v>
      </c>
      <c r="P13" s="9">
        <v>3.85E-2</v>
      </c>
      <c r="R13" s="11"/>
    </row>
    <row r="14" spans="1:18">
      <c r="A14" s="1" t="s">
        <v>12</v>
      </c>
      <c r="B14" s="27" t="s">
        <v>14</v>
      </c>
      <c r="C14" s="2" t="s">
        <v>16</v>
      </c>
      <c r="D14" s="1" t="s">
        <v>18</v>
      </c>
      <c r="E14" s="1" t="s">
        <v>29</v>
      </c>
      <c r="F14" s="1">
        <v>9</v>
      </c>
      <c r="G14" s="10" t="s">
        <v>30</v>
      </c>
      <c r="H14" s="9">
        <v>0</v>
      </c>
      <c r="I14" s="1" t="s">
        <v>31</v>
      </c>
      <c r="J14" s="1">
        <v>283</v>
      </c>
      <c r="K14" s="10" t="s">
        <v>32</v>
      </c>
      <c r="L14" s="9">
        <v>7.9000000000000008E-3</v>
      </c>
      <c r="M14" s="1" t="s">
        <v>33</v>
      </c>
      <c r="N14" s="1">
        <v>1214</v>
      </c>
      <c r="O14" s="10" t="s">
        <v>34</v>
      </c>
      <c r="P14" s="9">
        <v>1.47E-2</v>
      </c>
      <c r="R14" s="11" t="s">
        <v>42</v>
      </c>
    </row>
    <row r="15" spans="1:18">
      <c r="A15" s="1" t="s">
        <v>13</v>
      </c>
      <c r="B15" s="27" t="s">
        <v>15</v>
      </c>
      <c r="C15" s="2" t="s">
        <v>19</v>
      </c>
      <c r="D15" s="1" t="s">
        <v>18</v>
      </c>
      <c r="E15" s="1" t="s">
        <v>29</v>
      </c>
      <c r="F15" s="1">
        <v>17</v>
      </c>
      <c r="G15" s="10" t="s">
        <v>40</v>
      </c>
      <c r="H15" s="9">
        <v>0</v>
      </c>
      <c r="I15" s="1" t="s">
        <v>31</v>
      </c>
      <c r="J15" s="1">
        <v>29</v>
      </c>
      <c r="K15" s="10" t="s">
        <v>41</v>
      </c>
      <c r="L15" s="9">
        <v>3.3999999999999998E-3</v>
      </c>
      <c r="M15" s="1" t="s">
        <v>33</v>
      </c>
      <c r="N15" s="1">
        <v>1522</v>
      </c>
      <c r="O15" s="10" t="s">
        <v>43</v>
      </c>
      <c r="P15" s="9">
        <v>3.1699999999999999E-2</v>
      </c>
      <c r="R15" s="11" t="s">
        <v>39</v>
      </c>
    </row>
    <row r="16" spans="1:18">
      <c r="B16" s="28"/>
      <c r="C16" s="4"/>
      <c r="R16" s="11"/>
    </row>
    <row r="17" spans="1:18">
      <c r="B17" s="29"/>
      <c r="E17" s="24" t="s">
        <v>10</v>
      </c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R17" s="11"/>
    </row>
    <row r="18" spans="1:18">
      <c r="B18" s="29"/>
      <c r="E18" s="16" t="s">
        <v>6</v>
      </c>
      <c r="F18" s="16"/>
      <c r="G18" s="5"/>
      <c r="H18" s="5"/>
      <c r="I18" s="17" t="s">
        <v>7</v>
      </c>
      <c r="J18" s="17"/>
      <c r="K18" s="6"/>
      <c r="L18" s="6"/>
      <c r="M18" s="15" t="s">
        <v>8</v>
      </c>
      <c r="N18" s="15"/>
      <c r="O18" s="15"/>
      <c r="P18" s="15"/>
      <c r="R18" s="11"/>
    </row>
    <row r="19" spans="1:18">
      <c r="A19" s="8" t="s">
        <v>0</v>
      </c>
      <c r="B19" s="30" t="s">
        <v>1</v>
      </c>
      <c r="C19" s="3" t="s">
        <v>2</v>
      </c>
      <c r="D19" s="3" t="s">
        <v>3</v>
      </c>
      <c r="E19" s="7" t="s">
        <v>4</v>
      </c>
      <c r="F19" s="1" t="s">
        <v>24</v>
      </c>
      <c r="G19" s="1" t="s">
        <v>22</v>
      </c>
      <c r="H19" s="1" t="s">
        <v>23</v>
      </c>
      <c r="I19" s="7" t="s">
        <v>4</v>
      </c>
      <c r="J19" s="1" t="s">
        <v>24</v>
      </c>
      <c r="K19" s="1" t="s">
        <v>22</v>
      </c>
      <c r="L19" s="1" t="s">
        <v>23</v>
      </c>
      <c r="M19" s="7" t="s">
        <v>4</v>
      </c>
      <c r="N19" s="1" t="s">
        <v>24</v>
      </c>
      <c r="O19" s="1" t="s">
        <v>22</v>
      </c>
      <c r="P19" s="1" t="s">
        <v>23</v>
      </c>
      <c r="R19" s="11"/>
    </row>
    <row r="20" spans="1:18">
      <c r="A20" s="1" t="s">
        <v>11</v>
      </c>
      <c r="B20" s="26" t="s">
        <v>46</v>
      </c>
      <c r="C20" s="2" t="s">
        <v>45</v>
      </c>
      <c r="D20" s="1" t="s">
        <v>17</v>
      </c>
      <c r="E20" s="1" t="s">
        <v>83</v>
      </c>
      <c r="F20" s="1">
        <v>8</v>
      </c>
      <c r="G20" s="10" t="s">
        <v>84</v>
      </c>
      <c r="H20" s="9">
        <v>0</v>
      </c>
      <c r="I20" s="1" t="s">
        <v>85</v>
      </c>
      <c r="J20" s="1">
        <v>72</v>
      </c>
      <c r="K20" s="31" t="s">
        <v>86</v>
      </c>
      <c r="L20" s="9">
        <v>0</v>
      </c>
      <c r="M20" s="1" t="s">
        <v>80</v>
      </c>
      <c r="N20" s="1">
        <v>839</v>
      </c>
      <c r="O20" s="10" t="s">
        <v>87</v>
      </c>
      <c r="P20" s="9">
        <v>5.0000000000000001E-4</v>
      </c>
      <c r="R20" s="11" t="s">
        <v>88</v>
      </c>
    </row>
    <row r="21" spans="1:18">
      <c r="A21" s="1"/>
      <c r="B21" s="25" t="s">
        <v>47</v>
      </c>
      <c r="C21" s="2" t="s">
        <v>44</v>
      </c>
      <c r="D21" s="1" t="s">
        <v>17</v>
      </c>
      <c r="E21" s="1" t="s">
        <v>76</v>
      </c>
      <c r="F21" s="1">
        <v>4</v>
      </c>
      <c r="G21" s="10" t="s">
        <v>77</v>
      </c>
      <c r="H21" s="9">
        <v>0</v>
      </c>
      <c r="I21" s="1" t="s">
        <v>78</v>
      </c>
      <c r="J21" s="1">
        <v>6</v>
      </c>
      <c r="K21" s="10" t="s">
        <v>79</v>
      </c>
      <c r="L21" s="9">
        <v>0</v>
      </c>
      <c r="M21" s="1" t="s">
        <v>80</v>
      </c>
      <c r="N21" s="1">
        <v>225</v>
      </c>
      <c r="O21" s="10" t="s">
        <v>81</v>
      </c>
      <c r="P21" s="9">
        <v>0</v>
      </c>
      <c r="R21" s="11" t="s">
        <v>82</v>
      </c>
    </row>
    <row r="22" spans="1:18">
      <c r="A22" s="1" t="s">
        <v>12</v>
      </c>
      <c r="B22" s="27" t="s">
        <v>14</v>
      </c>
      <c r="C22" s="2" t="s">
        <v>16</v>
      </c>
      <c r="D22" s="1" t="s">
        <v>18</v>
      </c>
      <c r="E22" s="1" t="s">
        <v>66</v>
      </c>
      <c r="F22" s="1">
        <v>1181</v>
      </c>
      <c r="G22" s="10" t="s">
        <v>65</v>
      </c>
      <c r="H22" s="9">
        <v>0</v>
      </c>
      <c r="I22" s="1" t="s">
        <v>67</v>
      </c>
      <c r="J22" s="1">
        <v>2760</v>
      </c>
      <c r="K22" s="10" t="s">
        <v>40</v>
      </c>
      <c r="L22" s="9">
        <v>0</v>
      </c>
      <c r="M22" s="1" t="s">
        <v>68</v>
      </c>
      <c r="N22" s="1">
        <v>38745</v>
      </c>
      <c r="O22" s="10" t="s">
        <v>70</v>
      </c>
      <c r="P22" s="9">
        <v>0.8</v>
      </c>
      <c r="R22" s="11"/>
    </row>
    <row r="23" spans="1:18">
      <c r="A23" s="1" t="s">
        <v>13</v>
      </c>
      <c r="B23" s="27" t="s">
        <v>15</v>
      </c>
      <c r="C23" s="2" t="s">
        <v>19</v>
      </c>
      <c r="D23" s="1" t="s">
        <v>18</v>
      </c>
      <c r="E23" s="1" t="s">
        <v>66</v>
      </c>
      <c r="F23" s="1">
        <v>53</v>
      </c>
      <c r="G23" s="10" t="s">
        <v>72</v>
      </c>
      <c r="H23" s="9">
        <v>0</v>
      </c>
      <c r="I23" s="1" t="s">
        <v>67</v>
      </c>
      <c r="J23" s="1">
        <v>374</v>
      </c>
      <c r="K23" s="10" t="s">
        <v>73</v>
      </c>
      <c r="L23" s="9">
        <v>0</v>
      </c>
      <c r="M23" s="1" t="s">
        <v>68</v>
      </c>
      <c r="N23" s="1">
        <v>4519</v>
      </c>
      <c r="O23" s="10" t="s">
        <v>74</v>
      </c>
      <c r="P23" s="9">
        <v>0</v>
      </c>
      <c r="R23" s="12" t="s">
        <v>75</v>
      </c>
    </row>
    <row r="26" spans="1:18">
      <c r="E26" t="s">
        <v>69</v>
      </c>
      <c r="F26">
        <f>(12*2)*2+(10*2)*5</f>
        <v>148</v>
      </c>
    </row>
    <row r="27" spans="1:18">
      <c r="E27" t="s">
        <v>71</v>
      </c>
      <c r="F27">
        <f>F26*4</f>
        <v>592</v>
      </c>
    </row>
  </sheetData>
  <mergeCells count="12">
    <mergeCell ref="E18:F18"/>
    <mergeCell ref="I18:J18"/>
    <mergeCell ref="M18:P18"/>
    <mergeCell ref="E9:P9"/>
    <mergeCell ref="E17:P17"/>
    <mergeCell ref="E1:P1"/>
    <mergeCell ref="M2:P2"/>
    <mergeCell ref="E10:F10"/>
    <mergeCell ref="I10:J10"/>
    <mergeCell ref="E2:H2"/>
    <mergeCell ref="I2:L2"/>
    <mergeCell ref="M10:P10"/>
  </mergeCells>
  <hyperlinks>
    <hyperlink ref="C4" r:id="rId1" xr:uid="{EBDA1EBE-557B-4016-9780-43BB606A6F78}"/>
    <hyperlink ref="C6" r:id="rId2" xr:uid="{16FCB210-C6A2-4968-AE34-F19DFB76342D}"/>
    <hyperlink ref="C7" r:id="rId3" xr:uid="{8EE2A2EB-9AAF-4DB5-B224-6182C79CEF2F}"/>
    <hyperlink ref="C14" r:id="rId4" xr:uid="{006C26CD-CE77-4572-8DDF-CBCCE025D628}"/>
    <hyperlink ref="C15" r:id="rId5" xr:uid="{8B4D64A2-F2B7-4F6B-9222-6536C49E7C0F}"/>
    <hyperlink ref="C22" r:id="rId6" xr:uid="{A8795D85-E23A-4A7A-93A0-8C7600CF6D36}"/>
    <hyperlink ref="C23" r:id="rId7" xr:uid="{B1DF9528-B234-47A4-AD69-03506A944271}"/>
    <hyperlink ref="C5" r:id="rId8" xr:uid="{736E3D15-0591-4999-A106-0607BDA72545}"/>
    <hyperlink ref="C12" r:id="rId9" xr:uid="{4B00DAC8-E62C-4A7A-8399-1D2AC724379F}"/>
    <hyperlink ref="C13" r:id="rId10" xr:uid="{C2509897-8C55-4659-A451-7E29EC5FA604}"/>
    <hyperlink ref="C20" r:id="rId11" xr:uid="{9FF6B517-8A70-4A62-A8A8-3D6C0B861B4E}"/>
    <hyperlink ref="C21" r:id="rId12" xr:uid="{6C1845A7-5745-4077-9E88-47876403B725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Cristobal Milla</dc:creator>
  <cp:lastModifiedBy>Cristobal Milla Cabello</cp:lastModifiedBy>
  <dcterms:created xsi:type="dcterms:W3CDTF">2015-06-05T18:17:20Z</dcterms:created>
  <dcterms:modified xsi:type="dcterms:W3CDTF">2025-07-05T20:44:45Z</dcterms:modified>
</cp:coreProperties>
</file>